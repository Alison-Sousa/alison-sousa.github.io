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C GAMER\Desktop\"/>
    </mc:Choice>
  </mc:AlternateContent>
  <xr:revisionPtr revIDLastSave="0" documentId="13_ncr:1_{F8A28355-1E4D-4FCD-8AA6-3CF7F788C8E5}" xr6:coauthVersionLast="47" xr6:coauthVersionMax="47" xr10:uidLastSave="{00000000-0000-0000-0000-000000000000}"/>
  <bookViews>
    <workbookView xWindow="6660" yWindow="1920" windowWidth="21600" windowHeight="11505" activeTab="1" xr2:uid="{00000000-000D-0000-FFFF-FFFF00000000}"/>
  </bookViews>
  <sheets>
    <sheet name="Dashboard_1" sheetId="5" r:id="rId1"/>
    <sheet name="Dashboard_2" sheetId="10" r:id="rId2"/>
    <sheet name="Data" sheetId="7" r:id="rId3"/>
    <sheet name="Details" sheetId="8" r:id="rId4"/>
  </sheets>
  <definedNames>
    <definedName name="_xlchart.v1.0" hidden="1">Data!$U$3:$U$7</definedName>
    <definedName name="_xlchart.v1.1" hidden="1">Data!$V$2</definedName>
    <definedName name="_xlchart.v1.2" hidden="1">Data!$V$3:$V$7</definedName>
    <definedName name="_xlchart.v1.3" hidden="1">Data!$U$3:$U$7</definedName>
    <definedName name="_xlchart.v1.4" hidden="1">Data!$V$2</definedName>
    <definedName name="_xlchart.v1.5" hidden="1">Data!$V$3:$V$7</definedName>
    <definedName name="_xlchart.v1.6" hidden="1">Data!$U$3:$U$7</definedName>
    <definedName name="_xlchart.v1.7" hidden="1">Data!$V$2</definedName>
    <definedName name="_xlchart.v1.8" hidden="1">Data!$V$3:$V$7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7" l="1"/>
  <c r="P21" i="7" s="1"/>
  <c r="N21" i="7"/>
  <c r="V23" i="7"/>
  <c r="V24" i="7"/>
  <c r="V25" i="7"/>
  <c r="V26" i="7"/>
  <c r="V22" i="7"/>
  <c r="V14" i="7"/>
  <c r="V15" i="7"/>
  <c r="V16" i="7"/>
  <c r="V17" i="7"/>
  <c r="V13" i="7"/>
  <c r="W27" i="7"/>
  <c r="W18" i="7"/>
  <c r="V4" i="7"/>
  <c r="V5" i="7"/>
  <c r="V6" i="7"/>
  <c r="V7" i="7"/>
  <c r="V3" i="7"/>
  <c r="W8" i="7"/>
  <c r="R13" i="7"/>
  <c r="R14" i="7"/>
  <c r="R15" i="7"/>
  <c r="R16" i="7"/>
  <c r="R12" i="7"/>
  <c r="L14" i="7"/>
  <c r="L15" i="7" s="1"/>
  <c r="L16" i="7" s="1"/>
  <c r="H7" i="7"/>
  <c r="G7" i="7"/>
  <c r="B7" i="7"/>
  <c r="N1" i="7"/>
  <c r="O1" i="7" s="1"/>
  <c r="P1" i="7" s="1"/>
  <c r="F7" i="7" l="1"/>
  <c r="P7" i="7"/>
  <c r="O7" i="7"/>
  <c r="N7" i="7"/>
  <c r="M7" i="7"/>
</calcChain>
</file>

<file path=xl/sharedStrings.xml><?xml version="1.0" encoding="utf-8"?>
<sst xmlns="http://schemas.openxmlformats.org/spreadsheetml/2006/main" count="114" uniqueCount="19">
  <si>
    <t>Political Economy</t>
  </si>
  <si>
    <t>Development</t>
  </si>
  <si>
    <t>Artificial Intelligence</t>
  </si>
  <si>
    <t>Data Science</t>
  </si>
  <si>
    <t>Political Science</t>
  </si>
  <si>
    <t>Research</t>
  </si>
  <si>
    <t>Theme</t>
  </si>
  <si>
    <t>Accepted Papers</t>
  </si>
  <si>
    <t>Work in Progress</t>
  </si>
  <si>
    <t>Research Briefs</t>
  </si>
  <si>
    <t>All</t>
  </si>
  <si>
    <t>Publications and Papers</t>
  </si>
  <si>
    <t>- Global Value Chain (GVC): Semiconductor Sector &lt;br&gt; - International Diversification via ETFs from the Perspective of the Sharpe Ratio &lt;br&gt; - Why Should You Invest Your Money in J-REITs in Japan? &lt;br&gt; - Is It Worthwhile for Brazilians to Invest in ETFs in South Korea?</t>
  </si>
  <si>
    <t>- Risk Analysis for Semiconductor Production in Korea and Japan &lt;br&gt; - International Expansion Strategies: Analysis for the Internationalization of Semiconductors to Japan</t>
  </si>
  <si>
    <t>- Risk Analysis for Semiconductor Production in Korea and Japan &lt;br&gt; - Small Caps Portfolio Management &lt;br&gt; - Impact of Russia's Invasion of Ukraine in 2022 on Sberbank Stock Value</t>
  </si>
  <si>
    <t>- The Triangular Relationship between the United States, China, and Taiwan under the Xi Jinping Government &lt;br&gt; - The Triangular Relationship Among the United States, Taiwan, and China at the Onset of Joe Biden's Administration &lt;br&gt; - Climatological and Environmental Transformations in Relation to the Theory of International Relations in Selected Regions of North America, Europe, and Northeast Asia: A Realist Perspective</t>
  </si>
  <si>
    <t>"- Impact of Russia's Invasion of Ukraine in 2022 on Sberbank Stock Value"</t>
  </si>
  <si>
    <t>Papers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</si>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</sst>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.6"/>
      <color rgb="FFECECEC"/>
      <name val="Segoe UI"/>
      <family val="2"/>
    </font>
    <font>
      <sz val="9.6"/>
      <color rgb="FFECECEC"/>
      <name val="Segoe U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121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0" fillId="3" borderId="0" xfId="0" applyFill="1"/>
    <xf numFmtId="9" fontId="0" fillId="0" borderId="0" xfId="1" applyFont="1"/>
    <xf numFmtId="0" fontId="0" fillId="4" borderId="0" xfId="0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7120134279233"/>
          <c:y val="0.18355381886985681"/>
          <c:w val="0.51057182437347515"/>
          <c:h val="0.6130658365544933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D6-408F-AE52-FF4DF35159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D6-408F-AE52-FF4DF35159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D6-408F-AE52-FF4DF351595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4D6-408F-AE52-FF4DF35159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4D6-408F-AE52-FF4DF35159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Data!$A$2:$A$6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Data!$B$2:$B$6</c:f>
              <c:numCache>
                <c:formatCode>General</c:formatCode>
                <c:ptCount val="5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D6-408F-AE52-FF4DF351595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Accepted Papers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Data!$E$2:$E$6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Data!$F$2:$F$6</c:f>
              <c:numCache>
                <c:formatCode>General</c:formatCode>
                <c:ptCount val="5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D-462D-903A-9339CAA70B80}"/>
            </c:ext>
          </c:extLst>
        </c:ser>
        <c:ser>
          <c:idx val="1"/>
          <c:order val="1"/>
          <c:tx>
            <c:strRef>
              <c:f>Data!$G$1</c:f>
              <c:strCache>
                <c:ptCount val="1"/>
                <c:pt idx="0">
                  <c:v>Work in Progress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Data!$E$2:$E$6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Data!$G$2:$G$6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DD-462D-903A-9339CAA70B80}"/>
            </c:ext>
          </c:extLst>
        </c:ser>
        <c:ser>
          <c:idx val="2"/>
          <c:order val="2"/>
          <c:tx>
            <c:strRef>
              <c:f>Data!$H$1</c:f>
              <c:strCache>
                <c:ptCount val="1"/>
                <c:pt idx="0">
                  <c:v>Research Briefs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Data!$E$2:$E$6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Data!$H$2:$H$6</c:f>
              <c:numCache>
                <c:formatCode>General</c:formatCode>
                <c:ptCount val="5"/>
                <c:pt idx="0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DD-462D-903A-9339CAA70B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79527599"/>
        <c:axId val="1079526159"/>
      </c:barChart>
      <c:catAx>
        <c:axId val="1079527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9526159"/>
        <c:crosses val="autoZero"/>
        <c:auto val="1"/>
        <c:lblAlgn val="ctr"/>
        <c:lblOffset val="100"/>
        <c:noMultiLvlLbl val="0"/>
      </c:catAx>
      <c:valAx>
        <c:axId val="10795261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7952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Data!$M$1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Data!$L$2:$L$6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Data!$M$2:$M$6</c:f>
              <c:numCache>
                <c:formatCode>General</c:formatCode>
                <c:ptCount val="5"/>
                <c:pt idx="0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0-41FC-B715-497D2EB30169}"/>
            </c:ext>
          </c:extLst>
        </c:ser>
        <c:ser>
          <c:idx val="2"/>
          <c:order val="1"/>
          <c:tx>
            <c:strRef>
              <c:f>Data!$N$1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Data!$L$2:$L$6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Data!$N$2:$N$6</c:f>
              <c:numCache>
                <c:formatCode>General</c:formatCode>
                <c:ptCount val="5"/>
                <c:pt idx="0">
                  <c:v>3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0-41FC-B715-497D2EB30169}"/>
            </c:ext>
          </c:extLst>
        </c:ser>
        <c:ser>
          <c:idx val="3"/>
          <c:order val="2"/>
          <c:tx>
            <c:strRef>
              <c:f>Data!$O$1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Data!$L$2:$L$6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Data!$O$2:$O$6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00-41FC-B715-497D2EB30169}"/>
            </c:ext>
          </c:extLst>
        </c:ser>
        <c:ser>
          <c:idx val="4"/>
          <c:order val="3"/>
          <c:tx>
            <c:strRef>
              <c:f>Data!$P$1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Data!$L$2:$L$6</c:f>
              <c:strCache>
                <c:ptCount val="5"/>
                <c:pt idx="0">
                  <c:v>Political Economy</c:v>
                </c:pt>
                <c:pt idx="1">
                  <c:v>Development</c:v>
                </c:pt>
                <c:pt idx="2">
                  <c:v>Artificial Intelligence</c:v>
                </c:pt>
                <c:pt idx="3">
                  <c:v>Data Science</c:v>
                </c:pt>
                <c:pt idx="4">
                  <c:v>Political Science</c:v>
                </c:pt>
              </c:strCache>
            </c:strRef>
          </c:cat>
          <c:val>
            <c:numRef>
              <c:f>Data!$P$2:$P$6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00-41FC-B715-497D2EB30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3199551"/>
        <c:axId val="783182751"/>
      </c:barChart>
      <c:catAx>
        <c:axId val="783199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3182751"/>
        <c:crosses val="autoZero"/>
        <c:auto val="1"/>
        <c:lblAlgn val="ctr"/>
        <c:lblOffset val="100"/>
        <c:noMultiLvlLbl val="0"/>
      </c:catAx>
      <c:valAx>
        <c:axId val="7831827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319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56178977763816"/>
          <c:y val="0.54340113735783024"/>
          <c:w val="0.16868552356764549"/>
          <c:h val="0.15764216972878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Data!$M$12</c:f>
              <c:strCache>
                <c:ptCount val="1"/>
                <c:pt idx="0">
                  <c:v>Political Economy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Data!$L$13:$L$16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Data!$M$13:$M$16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E-4F85-B9B9-F22E9FE4A3EB}"/>
            </c:ext>
          </c:extLst>
        </c:ser>
        <c:ser>
          <c:idx val="1"/>
          <c:order val="1"/>
          <c:tx>
            <c:strRef>
              <c:f>Data!$N$12</c:f>
              <c:strCache>
                <c:ptCount val="1"/>
                <c:pt idx="0">
                  <c:v>Development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Data!$L$13:$L$16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Data!$N$13:$N$16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E-4F85-B9B9-F22E9FE4A3EB}"/>
            </c:ext>
          </c:extLst>
        </c:ser>
        <c:ser>
          <c:idx val="2"/>
          <c:order val="2"/>
          <c:tx>
            <c:strRef>
              <c:f>Data!$O$12</c:f>
              <c:strCache>
                <c:ptCount val="1"/>
                <c:pt idx="0">
                  <c:v>Artificial Intelligence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Data!$L$13:$L$16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Data!$O$13:$O$16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E-4F85-B9B9-F22E9FE4A3EB}"/>
            </c:ext>
          </c:extLst>
        </c:ser>
        <c:ser>
          <c:idx val="3"/>
          <c:order val="3"/>
          <c:tx>
            <c:strRef>
              <c:f>Data!$P$12</c:f>
              <c:strCache>
                <c:ptCount val="1"/>
                <c:pt idx="0">
                  <c:v>Data Science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Data!$L$13:$L$16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Data!$P$13:$P$16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E-4F85-B9B9-F22E9FE4A3EB}"/>
            </c:ext>
          </c:extLst>
        </c:ser>
        <c:ser>
          <c:idx val="4"/>
          <c:order val="4"/>
          <c:tx>
            <c:strRef>
              <c:f>Data!$Q$12</c:f>
              <c:strCache>
                <c:ptCount val="1"/>
                <c:pt idx="0">
                  <c:v>Political Science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Data!$L$13:$L$16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Data!$Q$13:$Q$16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BE-4F85-B9B9-F22E9FE4A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067140927"/>
        <c:axId val="1067155327"/>
      </c:barChart>
      <c:catAx>
        <c:axId val="106714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7155327"/>
        <c:crosses val="autoZero"/>
        <c:auto val="1"/>
        <c:lblAlgn val="ctr"/>
        <c:lblOffset val="100"/>
        <c:noMultiLvlLbl val="0"/>
      </c:catAx>
      <c:valAx>
        <c:axId val="1067155327"/>
        <c:scaling>
          <c:orientation val="minMax"/>
          <c:max val="4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714092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sunburst" uniqueId="{D7BE3647-ED92-42C3-AF56-03EC60DF1F5B}">
          <cx:tx>
            <cx:txData>
              <cx:f>_xlchart.v1.1</cx:f>
              <cx:v>Accepted Papers</cx:v>
            </cx:txData>
          </cx:tx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 i="0">
                    <a:solidFill>
                      <a:schemeClr val="bg1"/>
                    </a:solidFill>
                    <a:latin typeface="+mn-lt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 b="1">
                  <a:solidFill>
                    <a:schemeClr val="bg1"/>
                  </a:solidFill>
                  <a:latin typeface="+mn-lt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</cx:plotArea>
    <cx:legend pos="r" align="ctr" overlay="0">
      <cx:txPr>
        <a:bodyPr vertOverflow="overflow" horzOverflow="overflow" wrap="square" lIns="0" tIns="0" rIns="0" bIns="0"/>
        <a:lstStyle/>
        <a:p>
          <a:pPr algn="ctr" rtl="0">
            <a:defRPr sz="900" b="1" i="0">
              <a:solidFill>
                <a:schemeClr val="bg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 b="1">
            <a:solidFill>
              <a:schemeClr val="bg1"/>
            </a:solidFill>
            <a:latin typeface="+mn-lt"/>
          </a:endParaRPr>
        </a:p>
      </cx:txPr>
    </cx:legend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sunburst" uniqueId="{D7BE3647-ED92-42C3-AF56-03EC60DF1F5B}">
          <cx:tx>
            <cx:txData>
              <cx:f>_xlchart.v1.4</cx:f>
              <cx:v>Accepted Papers</cx:v>
            </cx:txData>
          </cx:tx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 i="0">
                    <a:solidFill>
                      <a:schemeClr val="bg1"/>
                    </a:solidFill>
                    <a:latin typeface="+mn-lt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 b="1">
                  <a:solidFill>
                    <a:schemeClr val="bg1"/>
                  </a:solidFill>
                  <a:latin typeface="+mn-lt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</cx:plotArea>
    <cx:legend pos="r" align="ctr" overlay="0">
      <cx:txPr>
        <a:bodyPr vertOverflow="overflow" horzOverflow="overflow" wrap="square" lIns="0" tIns="0" rIns="0" bIns="0"/>
        <a:lstStyle/>
        <a:p>
          <a:pPr algn="ctr" rtl="0">
            <a:defRPr sz="900" b="1" i="0">
              <a:solidFill>
                <a:schemeClr val="bg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 b="1">
            <a:solidFill>
              <a:schemeClr val="bg1"/>
            </a:solidFill>
            <a:latin typeface="+mn-lt"/>
          </a:endParaRPr>
        </a:p>
      </cx:txPr>
    </cx:legend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plotArea>
      <cx:plotAreaRegion>
        <cx:series layoutId="sunburst" uniqueId="{D7BE3647-ED92-42C3-AF56-03EC60DF1F5B}">
          <cx:tx>
            <cx:txData>
              <cx:f>_xlchart.v1.7</cx:f>
              <cx:v>Accepted Papers</cx:v>
            </cx:txData>
          </cx:tx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 i="0">
                    <a:solidFill>
                      <a:schemeClr val="bg1"/>
                    </a:solidFill>
                    <a:latin typeface="+mn-lt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 b="1">
                  <a:solidFill>
                    <a:schemeClr val="bg1"/>
                  </a:solidFill>
                  <a:latin typeface="+mn-lt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</cx:plotArea>
    <cx:legend pos="r" align="ctr" overlay="0">
      <cx:txPr>
        <a:bodyPr vertOverflow="overflow" horzOverflow="overflow" wrap="square" lIns="0" tIns="0" rIns="0" bIns="0"/>
        <a:lstStyle/>
        <a:p>
          <a:pPr algn="ctr" rtl="0">
            <a:defRPr sz="900" b="1" i="0">
              <a:solidFill>
                <a:schemeClr val="bg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 b="1">
            <a:solidFill>
              <a:schemeClr val="bg1"/>
            </a:solidFill>
            <a:latin typeface="+mn-lt"/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fmlaLink="Data!$A$9" fmlaRange="Data!$A$2:$A$7" noThreeD="1" sel="6" val="0"/>
</file>

<file path=xl/ctrlProps/ctrlProp2.xml><?xml version="1.0" encoding="utf-8"?>
<formControlPr xmlns="http://schemas.microsoft.com/office/spreadsheetml/2009/9/main" objectType="Drop" dropStyle="combo" dx="22" fmlaLink="Data!$A$9" fmlaRange="Data!$A$2:$A$7" noThreeD="1" sel="6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4.xml"/><Relationship Id="rId4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563981</xdr:colOff>
      <xdr:row>19</xdr:row>
      <xdr:rowOff>160420</xdr:rowOff>
    </xdr:from>
    <xdr:to>
      <xdr:col>20</xdr:col>
      <xdr:colOff>544931</xdr:colOff>
      <xdr:row>28</xdr:row>
      <xdr:rowOff>190499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738060" y="3779920"/>
          <a:ext cx="3038976" cy="1744579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76200</xdr:colOff>
      <xdr:row>8</xdr:row>
      <xdr:rowOff>28575</xdr:rowOff>
    </xdr:from>
    <xdr:to>
      <xdr:col>4</xdr:col>
      <xdr:colOff>0</xdr:colOff>
      <xdr:row>28</xdr:row>
      <xdr:rowOff>133350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" y="1552575"/>
          <a:ext cx="2362200" cy="3914775"/>
        </a:xfrm>
        <a:prstGeom prst="roundRect">
          <a:avLst/>
        </a:prstGeom>
        <a:solidFill>
          <a:schemeClr val="bg2">
            <a:lumMod val="9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476250</xdr:colOff>
      <xdr:row>6</xdr:row>
      <xdr:rowOff>85725</xdr:rowOff>
    </xdr:from>
    <xdr:to>
      <xdr:col>3</xdr:col>
      <xdr:colOff>152400</xdr:colOff>
      <xdr:row>9</xdr:row>
      <xdr:rowOff>57150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6250" y="1228725"/>
          <a:ext cx="1504950" cy="542925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prst="relaxedInset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>
                <a:noFill/>
              </a:ln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Control</a:t>
          </a:r>
        </a:p>
      </xdr:txBody>
    </xdr:sp>
    <xdr:clientData/>
  </xdr:twoCellAnchor>
  <xdr:twoCellAnchor>
    <xdr:from>
      <xdr:col>0</xdr:col>
      <xdr:colOff>552450</xdr:colOff>
      <xdr:row>11</xdr:row>
      <xdr:rowOff>123825</xdr:rowOff>
    </xdr:from>
    <xdr:to>
      <xdr:col>3</xdr:col>
      <xdr:colOff>95250</xdr:colOff>
      <xdr:row>13</xdr:row>
      <xdr:rowOff>161925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52450" y="2219325"/>
          <a:ext cx="1371600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CV</a:t>
          </a:r>
        </a:p>
      </xdr:txBody>
    </xdr:sp>
    <xdr:clientData/>
  </xdr:twoCellAnchor>
  <xdr:twoCellAnchor>
    <xdr:from>
      <xdr:col>0</xdr:col>
      <xdr:colOff>551259</xdr:colOff>
      <xdr:row>15</xdr:row>
      <xdr:rowOff>126205</xdr:rowOff>
    </xdr:from>
    <xdr:to>
      <xdr:col>3</xdr:col>
      <xdr:colOff>94059</xdr:colOff>
      <xdr:row>17</xdr:row>
      <xdr:rowOff>164305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1259" y="2983705"/>
          <a:ext cx="1371600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Projects</a:t>
          </a:r>
        </a:p>
      </xdr:txBody>
    </xdr:sp>
    <xdr:clientData/>
  </xdr:twoCellAnchor>
  <xdr:twoCellAnchor>
    <xdr:from>
      <xdr:col>0</xdr:col>
      <xdr:colOff>551260</xdr:colOff>
      <xdr:row>19</xdr:row>
      <xdr:rowOff>105963</xdr:rowOff>
    </xdr:from>
    <xdr:to>
      <xdr:col>3</xdr:col>
      <xdr:colOff>94060</xdr:colOff>
      <xdr:row>21</xdr:row>
      <xdr:rowOff>144063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51260" y="3725463"/>
          <a:ext cx="1371600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Research</a:t>
          </a:r>
        </a:p>
      </xdr:txBody>
    </xdr:sp>
    <xdr:clientData/>
  </xdr:twoCellAnchor>
  <xdr:twoCellAnchor>
    <xdr:from>
      <xdr:col>0</xdr:col>
      <xdr:colOff>551259</xdr:colOff>
      <xdr:row>23</xdr:row>
      <xdr:rowOff>117869</xdr:rowOff>
    </xdr:from>
    <xdr:to>
      <xdr:col>3</xdr:col>
      <xdr:colOff>94059</xdr:colOff>
      <xdr:row>25</xdr:row>
      <xdr:rowOff>155969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51259" y="4499369"/>
          <a:ext cx="1371600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Contact</a:t>
          </a:r>
        </a:p>
      </xdr:txBody>
    </xdr:sp>
    <xdr:clientData/>
  </xdr:twoCellAnchor>
  <xdr:twoCellAnchor>
    <xdr:from>
      <xdr:col>15</xdr:col>
      <xdr:colOff>561975</xdr:colOff>
      <xdr:row>2</xdr:row>
      <xdr:rowOff>180975</xdr:rowOff>
    </xdr:from>
    <xdr:to>
      <xdr:col>20</xdr:col>
      <xdr:colOff>542925</xdr:colOff>
      <xdr:row>17</xdr:row>
      <xdr:rowOff>100263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36054" y="561975"/>
          <a:ext cx="3038976" cy="2776788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561974</xdr:colOff>
      <xdr:row>2</xdr:row>
      <xdr:rowOff>180975</xdr:rowOff>
    </xdr:from>
    <xdr:to>
      <xdr:col>20</xdr:col>
      <xdr:colOff>533399</xdr:colOff>
      <xdr:row>5</xdr:row>
      <xdr:rowOff>28575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705974" y="561975"/>
          <a:ext cx="3019425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Perspective by Research</a:t>
          </a:r>
        </a:p>
      </xdr:txBody>
    </xdr:sp>
    <xdr:clientData/>
  </xdr:twoCellAnchor>
  <xdr:twoCellAnchor>
    <xdr:from>
      <xdr:col>16</xdr:col>
      <xdr:colOff>9525</xdr:colOff>
      <xdr:row>6</xdr:row>
      <xdr:rowOff>114300</xdr:rowOff>
    </xdr:from>
    <xdr:to>
      <xdr:col>17</xdr:col>
      <xdr:colOff>123825</xdr:colOff>
      <xdr:row>7</xdr:row>
      <xdr:rowOff>180975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9763125" y="1257300"/>
          <a:ext cx="7239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ln>
                <a:noFill/>
              </a:ln>
              <a:latin typeface="Aharoni" panose="02010803020104030203" pitchFamily="2" charset="-79"/>
              <a:cs typeface="Aharoni" panose="02010803020104030203" pitchFamily="2" charset="-79"/>
            </a:rPr>
            <a:t>Status</a:t>
          </a:r>
        </a:p>
      </xdr:txBody>
    </xdr:sp>
    <xdr:clientData/>
  </xdr:twoCellAnchor>
  <xdr:twoCellAnchor>
    <xdr:from>
      <xdr:col>16</xdr:col>
      <xdr:colOff>76200</xdr:colOff>
      <xdr:row>9</xdr:row>
      <xdr:rowOff>47625</xdr:rowOff>
    </xdr:from>
    <xdr:to>
      <xdr:col>18</xdr:col>
      <xdr:colOff>76200</xdr:colOff>
      <xdr:row>10</xdr:row>
      <xdr:rowOff>180975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829800" y="1762125"/>
          <a:ext cx="12192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n>
                <a:noFill/>
              </a:ln>
            </a:rPr>
            <a:t>Accepted Papers</a:t>
          </a:r>
        </a:p>
      </xdr:txBody>
    </xdr:sp>
    <xdr:clientData/>
  </xdr:twoCellAnchor>
  <xdr:twoCellAnchor>
    <xdr:from>
      <xdr:col>16</xdr:col>
      <xdr:colOff>47625</xdr:colOff>
      <xdr:row>11</xdr:row>
      <xdr:rowOff>180975</xdr:rowOff>
    </xdr:from>
    <xdr:to>
      <xdr:col>18</xdr:col>
      <xdr:colOff>123825</xdr:colOff>
      <xdr:row>13</xdr:row>
      <xdr:rowOff>123825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801225" y="2276475"/>
          <a:ext cx="1295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n>
                <a:noFill/>
              </a:ln>
            </a:rPr>
            <a:t>Work in Progress</a:t>
          </a:r>
        </a:p>
      </xdr:txBody>
    </xdr:sp>
    <xdr:clientData/>
  </xdr:twoCellAnchor>
  <xdr:twoCellAnchor>
    <xdr:from>
      <xdr:col>16</xdr:col>
      <xdr:colOff>57150</xdr:colOff>
      <xdr:row>14</xdr:row>
      <xdr:rowOff>152400</xdr:rowOff>
    </xdr:from>
    <xdr:to>
      <xdr:col>18</xdr:col>
      <xdr:colOff>200025</xdr:colOff>
      <xdr:row>16</xdr:row>
      <xdr:rowOff>95250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9810750" y="2819400"/>
          <a:ext cx="13620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n>
                <a:noFill/>
              </a:ln>
            </a:rPr>
            <a:t>Research Briefs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20</xdr:col>
      <xdr:colOff>581025</xdr:colOff>
      <xdr:row>2</xdr:row>
      <xdr:rowOff>171450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525" y="19050"/>
          <a:ext cx="12763500" cy="5334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  <a:effectLst>
          <a:softEdge rad="12700"/>
        </a:effectLst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76200</xdr:rowOff>
        </xdr:from>
        <xdr:to>
          <xdr:col>3</xdr:col>
          <xdr:colOff>590550</xdr:colOff>
          <xdr:row>5</xdr:row>
          <xdr:rowOff>152400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571499</xdr:colOff>
      <xdr:row>17</xdr:row>
      <xdr:rowOff>114300</xdr:rowOff>
    </xdr:from>
    <xdr:to>
      <xdr:col>20</xdr:col>
      <xdr:colOff>542924</xdr:colOff>
      <xdr:row>19</xdr:row>
      <xdr:rowOff>152400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15499" y="3352800"/>
          <a:ext cx="3019425" cy="4191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Perspective by theme</a:t>
          </a:r>
        </a:p>
      </xdr:txBody>
    </xdr:sp>
    <xdr:clientData/>
  </xdr:twoCellAnchor>
  <xdr:twoCellAnchor>
    <xdr:from>
      <xdr:col>10</xdr:col>
      <xdr:colOff>457201</xdr:colOff>
      <xdr:row>15</xdr:row>
      <xdr:rowOff>38101</xdr:rowOff>
    </xdr:from>
    <xdr:to>
      <xdr:col>15</xdr:col>
      <xdr:colOff>485775</xdr:colOff>
      <xdr:row>28</xdr:row>
      <xdr:rowOff>123825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95249</xdr:colOff>
      <xdr:row>2</xdr:row>
      <xdr:rowOff>180975</xdr:rowOff>
    </xdr:from>
    <xdr:to>
      <xdr:col>3</xdr:col>
      <xdr:colOff>590550</xdr:colOff>
      <xdr:row>4</xdr:row>
      <xdr:rowOff>66675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5249" y="561975"/>
          <a:ext cx="2324101" cy="2667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Search by theme</a:t>
          </a:r>
        </a:p>
      </xdr:txBody>
    </xdr:sp>
    <xdr:clientData/>
  </xdr:twoCellAnchor>
  <xdr:twoCellAnchor>
    <xdr:from>
      <xdr:col>16</xdr:col>
      <xdr:colOff>76200</xdr:colOff>
      <xdr:row>22</xdr:row>
      <xdr:rowOff>76200</xdr:rowOff>
    </xdr:from>
    <xdr:to>
      <xdr:col>17</xdr:col>
      <xdr:colOff>419100</xdr:colOff>
      <xdr:row>23</xdr:row>
      <xdr:rowOff>142875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9829800" y="4267200"/>
          <a:ext cx="9525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200" b="1">
            <a:ln>
              <a:noFill/>
            </a:ln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16</xdr:col>
      <xdr:colOff>66675</xdr:colOff>
      <xdr:row>20</xdr:row>
      <xdr:rowOff>66675</xdr:rowOff>
    </xdr:from>
    <xdr:to>
      <xdr:col>18</xdr:col>
      <xdr:colOff>47625</xdr:colOff>
      <xdr:row>22</xdr:row>
      <xdr:rowOff>9525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9820275" y="3876675"/>
          <a:ext cx="12001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Political Economy</a:t>
          </a:r>
          <a:endParaRPr lang="pt-BR" sz="1200">
            <a:ln>
              <a:noFill/>
            </a:ln>
          </a:endParaRPr>
        </a:p>
      </xdr:txBody>
    </xdr:sp>
    <xdr:clientData/>
  </xdr:twoCellAnchor>
  <xdr:twoCellAnchor>
    <xdr:from>
      <xdr:col>16</xdr:col>
      <xdr:colOff>66675</xdr:colOff>
      <xdr:row>21</xdr:row>
      <xdr:rowOff>180975</xdr:rowOff>
    </xdr:from>
    <xdr:to>
      <xdr:col>17</xdr:col>
      <xdr:colOff>533400</xdr:colOff>
      <xdr:row>23</xdr:row>
      <xdr:rowOff>123825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9820275" y="4181475"/>
          <a:ext cx="107632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Development</a:t>
          </a:r>
          <a:endParaRPr lang="pt-BR" sz="1200">
            <a:ln>
              <a:noFill/>
            </a:ln>
          </a:endParaRPr>
        </a:p>
      </xdr:txBody>
    </xdr:sp>
    <xdr:clientData/>
  </xdr:twoCellAnchor>
  <xdr:twoCellAnchor>
    <xdr:from>
      <xdr:col>16</xdr:col>
      <xdr:colOff>66675</xdr:colOff>
      <xdr:row>23</xdr:row>
      <xdr:rowOff>114300</xdr:rowOff>
    </xdr:from>
    <xdr:to>
      <xdr:col>18</xdr:col>
      <xdr:colOff>304800</xdr:colOff>
      <xdr:row>25</xdr:row>
      <xdr:rowOff>57150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9820275" y="4495800"/>
          <a:ext cx="145732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effectLst/>
            </a:rPr>
            <a:t>Artificial Intelligence</a:t>
          </a:r>
          <a:br>
            <a:rPr lang="pt-BR" sz="1100"/>
          </a:br>
          <a:endParaRPr lang="pt-BR" sz="1100">
            <a:ln>
              <a:noFill/>
            </a:ln>
          </a:endParaRPr>
        </a:p>
      </xdr:txBody>
    </xdr:sp>
    <xdr:clientData/>
  </xdr:twoCellAnchor>
  <xdr:twoCellAnchor>
    <xdr:from>
      <xdr:col>16</xdr:col>
      <xdr:colOff>66675</xdr:colOff>
      <xdr:row>25</xdr:row>
      <xdr:rowOff>76200</xdr:rowOff>
    </xdr:from>
    <xdr:to>
      <xdr:col>18</xdr:col>
      <xdr:colOff>9525</xdr:colOff>
      <xdr:row>27</xdr:row>
      <xdr:rowOff>19050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820275" y="4838700"/>
          <a:ext cx="11620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Science</a:t>
          </a:r>
          <a:endParaRPr lang="pt-BR" sz="1200">
            <a:ln>
              <a:noFill/>
            </a:ln>
          </a:endParaRPr>
        </a:p>
      </xdr:txBody>
    </xdr:sp>
    <xdr:clientData/>
  </xdr:twoCellAnchor>
  <xdr:twoCellAnchor>
    <xdr:from>
      <xdr:col>16</xdr:col>
      <xdr:colOff>76199</xdr:colOff>
      <xdr:row>27</xdr:row>
      <xdr:rowOff>9525</xdr:rowOff>
    </xdr:from>
    <xdr:to>
      <xdr:col>18</xdr:col>
      <xdr:colOff>238124</xdr:colOff>
      <xdr:row>28</xdr:row>
      <xdr:rowOff>142875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9829799" y="5153025"/>
          <a:ext cx="138112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effectLst/>
            </a:rPr>
            <a:t>Political Science</a:t>
          </a:r>
          <a:br>
            <a:rPr lang="pt-BR" sz="1100"/>
          </a:br>
          <a:endParaRPr lang="pt-BR" sz="1100">
            <a:ln>
              <a:noFill/>
            </a:ln>
          </a:endParaRPr>
        </a:p>
      </xdr:txBody>
    </xdr:sp>
    <xdr:clientData/>
  </xdr:twoCellAnchor>
  <xdr:twoCellAnchor>
    <xdr:from>
      <xdr:col>18</xdr:col>
      <xdr:colOff>247651</xdr:colOff>
      <xdr:row>20</xdr:row>
      <xdr:rowOff>28575</xdr:rowOff>
    </xdr:from>
    <xdr:to>
      <xdr:col>19</xdr:col>
      <xdr:colOff>219075</xdr:colOff>
      <xdr:row>21</xdr:row>
      <xdr:rowOff>133350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20451" y="383857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247651</xdr:colOff>
      <xdr:row>21</xdr:row>
      <xdr:rowOff>161925</xdr:rowOff>
    </xdr:from>
    <xdr:to>
      <xdr:col>19</xdr:col>
      <xdr:colOff>219075</xdr:colOff>
      <xdr:row>23</xdr:row>
      <xdr:rowOff>76200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20451" y="416242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247651</xdr:colOff>
      <xdr:row>23</xdr:row>
      <xdr:rowOff>104775</xdr:rowOff>
    </xdr:from>
    <xdr:to>
      <xdr:col>19</xdr:col>
      <xdr:colOff>219075</xdr:colOff>
      <xdr:row>25</xdr:row>
      <xdr:rowOff>19050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20451" y="448627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247651</xdr:colOff>
      <xdr:row>25</xdr:row>
      <xdr:rowOff>47625</xdr:rowOff>
    </xdr:from>
    <xdr:to>
      <xdr:col>19</xdr:col>
      <xdr:colOff>219075</xdr:colOff>
      <xdr:row>26</xdr:row>
      <xdr:rowOff>152400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1220451" y="481012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257175</xdr:colOff>
      <xdr:row>27</xdr:row>
      <xdr:rowOff>0</xdr:rowOff>
    </xdr:from>
    <xdr:to>
      <xdr:col>19</xdr:col>
      <xdr:colOff>228599</xdr:colOff>
      <xdr:row>28</xdr:row>
      <xdr:rowOff>104775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229975" y="5143500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180976</xdr:colOff>
      <xdr:row>9</xdr:row>
      <xdr:rowOff>38100</xdr:rowOff>
    </xdr:from>
    <xdr:to>
      <xdr:col>19</xdr:col>
      <xdr:colOff>152400</xdr:colOff>
      <xdr:row>10</xdr:row>
      <xdr:rowOff>142875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1153776" y="1752600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190501</xdr:colOff>
      <xdr:row>12</xdr:row>
      <xdr:rowOff>9525</xdr:rowOff>
    </xdr:from>
    <xdr:to>
      <xdr:col>19</xdr:col>
      <xdr:colOff>161925</xdr:colOff>
      <xdr:row>13</xdr:row>
      <xdr:rowOff>114300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163301" y="229552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190501</xdr:colOff>
      <xdr:row>14</xdr:row>
      <xdr:rowOff>123825</xdr:rowOff>
    </xdr:from>
    <xdr:to>
      <xdr:col>19</xdr:col>
      <xdr:colOff>161925</xdr:colOff>
      <xdr:row>16</xdr:row>
      <xdr:rowOff>38100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163301" y="2790825"/>
          <a:ext cx="581024" cy="295275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104775</xdr:colOff>
      <xdr:row>15</xdr:row>
      <xdr:rowOff>19050</xdr:rowOff>
    </xdr:from>
    <xdr:to>
      <xdr:col>10</xdr:col>
      <xdr:colOff>428625</xdr:colOff>
      <xdr:row>28</xdr:row>
      <xdr:rowOff>114300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481015</xdr:colOff>
      <xdr:row>18</xdr:row>
      <xdr:rowOff>161925</xdr:rowOff>
    </xdr:from>
    <xdr:to>
      <xdr:col>11</xdr:col>
      <xdr:colOff>195265</xdr:colOff>
      <xdr:row>24</xdr:row>
      <xdr:rowOff>52387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 rot="16200000">
          <a:off x="6222209" y="3945731"/>
          <a:ext cx="1033462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ln>
                <a:noFill/>
              </a:ln>
            </a:rPr>
            <a:t>Primary themes</a:t>
          </a:r>
        </a:p>
      </xdr:txBody>
    </xdr:sp>
    <xdr:clientData/>
  </xdr:twoCellAnchor>
  <xdr:twoCellAnchor>
    <xdr:from>
      <xdr:col>4</xdr:col>
      <xdr:colOff>78582</xdr:colOff>
      <xdr:row>15</xdr:row>
      <xdr:rowOff>2381</xdr:rowOff>
    </xdr:from>
    <xdr:to>
      <xdr:col>7</xdr:col>
      <xdr:colOff>247650</xdr:colOff>
      <xdr:row>16</xdr:row>
      <xdr:rowOff>135731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516982" y="2859881"/>
          <a:ext cx="1997868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ln>
                <a:noFill/>
              </a:ln>
            </a:rPr>
            <a:t>Status</a:t>
          </a:r>
          <a:r>
            <a:rPr lang="pt-BR" sz="1000" b="1" baseline="0">
              <a:ln>
                <a:noFill/>
              </a:ln>
            </a:rPr>
            <a:t> by theme</a:t>
          </a:r>
          <a:endParaRPr lang="pt-BR" sz="1000" b="1">
            <a:ln>
              <a:noFill/>
            </a:ln>
          </a:endParaRPr>
        </a:p>
      </xdr:txBody>
    </xdr:sp>
    <xdr:clientData/>
  </xdr:twoCellAnchor>
  <xdr:twoCellAnchor>
    <xdr:from>
      <xdr:col>8</xdr:col>
      <xdr:colOff>89087</xdr:colOff>
      <xdr:row>0</xdr:row>
      <xdr:rowOff>133910</xdr:rowOff>
    </xdr:from>
    <xdr:to>
      <xdr:col>12</xdr:col>
      <xdr:colOff>89087</xdr:colOff>
      <xdr:row>2</xdr:row>
      <xdr:rowOff>10085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019675" y="133910"/>
          <a:ext cx="2465294" cy="268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>
              <a:ln>
                <a:noFill/>
              </a:ln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Academic Research</a:t>
          </a:r>
        </a:p>
      </xdr:txBody>
    </xdr:sp>
    <xdr:clientData/>
  </xdr:twoCellAnchor>
  <xdr:twoCellAnchor>
    <xdr:from>
      <xdr:col>4</xdr:col>
      <xdr:colOff>104774</xdr:colOff>
      <xdr:row>2</xdr:row>
      <xdr:rowOff>180975</xdr:rowOff>
    </xdr:from>
    <xdr:to>
      <xdr:col>15</xdr:col>
      <xdr:colOff>485775</xdr:colOff>
      <xdr:row>14</xdr:row>
      <xdr:rowOff>180975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15</xdr:row>
      <xdr:rowOff>114300</xdr:rowOff>
    </xdr:from>
    <xdr:to>
      <xdr:col>18</xdr:col>
      <xdr:colOff>333374</xdr:colOff>
      <xdr:row>30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247650</xdr:colOff>
      <xdr:row>0</xdr:row>
      <xdr:rowOff>142875</xdr:rowOff>
    </xdr:from>
    <xdr:to>
      <xdr:col>12</xdr:col>
      <xdr:colOff>114300</xdr:colOff>
      <xdr:row>2</xdr:row>
      <xdr:rowOff>25003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514850" y="142875"/>
          <a:ext cx="2914650" cy="263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>
              <a:ln>
                <a:noFill/>
              </a:ln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Research KPI Dashboard</a:t>
          </a:r>
        </a:p>
      </xdr:txBody>
    </xdr:sp>
    <xdr:clientData/>
  </xdr:twoCellAnchor>
  <xdr:twoCellAnchor>
    <xdr:from>
      <xdr:col>2</xdr:col>
      <xdr:colOff>542925</xdr:colOff>
      <xdr:row>4</xdr:row>
      <xdr:rowOff>152401</xdr:rowOff>
    </xdr:from>
    <xdr:to>
      <xdr:col>8</xdr:col>
      <xdr:colOff>47625</xdr:colOff>
      <xdr:row>14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25" y="914401"/>
              <a:ext cx="3162300" cy="1790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8</xdr:col>
      <xdr:colOff>257175</xdr:colOff>
      <xdr:row>4</xdr:row>
      <xdr:rowOff>161926</xdr:rowOff>
    </xdr:from>
    <xdr:to>
      <xdr:col>13</xdr:col>
      <xdr:colOff>371475</xdr:colOff>
      <xdr:row>14</xdr:row>
      <xdr:rowOff>47625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33975" y="923926"/>
              <a:ext cx="3162300" cy="1790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13</xdr:col>
      <xdr:colOff>457200</xdr:colOff>
      <xdr:row>5</xdr:row>
      <xdr:rowOff>47626</xdr:rowOff>
    </xdr:from>
    <xdr:to>
      <xdr:col>18</xdr:col>
      <xdr:colOff>571500</xdr:colOff>
      <xdr:row>14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2000" y="1000126"/>
              <a:ext cx="3162300" cy="1790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0</xdr:col>
      <xdr:colOff>28575</xdr:colOff>
      <xdr:row>8</xdr:row>
      <xdr:rowOff>85725</xdr:rowOff>
    </xdr:from>
    <xdr:to>
      <xdr:col>2</xdr:col>
      <xdr:colOff>514350</xdr:colOff>
      <xdr:row>28</xdr:row>
      <xdr:rowOff>104775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8575" y="1609725"/>
          <a:ext cx="1704975" cy="3829050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104775</xdr:rowOff>
        </xdr:from>
        <xdr:to>
          <xdr:col>2</xdr:col>
          <xdr:colOff>533400</xdr:colOff>
          <xdr:row>6</xdr:row>
          <xdr:rowOff>28575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38101</xdr:colOff>
      <xdr:row>3</xdr:row>
      <xdr:rowOff>9525</xdr:rowOff>
    </xdr:from>
    <xdr:to>
      <xdr:col>2</xdr:col>
      <xdr:colOff>533401</xdr:colOff>
      <xdr:row>4</xdr:row>
      <xdr:rowOff>129778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101" y="581025"/>
          <a:ext cx="1714500" cy="310753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Search by theme</a:t>
          </a:r>
        </a:p>
      </xdr:txBody>
    </xdr:sp>
    <xdr:clientData/>
  </xdr:twoCellAnchor>
  <xdr:twoCellAnchor>
    <xdr:from>
      <xdr:col>0</xdr:col>
      <xdr:colOff>161925</xdr:colOff>
      <xdr:row>10</xdr:row>
      <xdr:rowOff>142279</xdr:rowOff>
    </xdr:from>
    <xdr:to>
      <xdr:col>2</xdr:col>
      <xdr:colOff>316111</xdr:colOff>
      <xdr:row>12</xdr:row>
      <xdr:rowOff>186332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1925" y="2047279"/>
          <a:ext cx="1373386" cy="42505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Dashboard</a:t>
          </a:r>
          <a:r>
            <a:rPr lang="pt-BR" sz="1200" b="1" baseline="0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 Academic</a:t>
          </a:r>
          <a:endParaRPr lang="pt-BR" sz="1200" b="1">
            <a:solidFill>
              <a:schemeClr val="tx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161925</xdr:colOff>
      <xdr:row>21</xdr:row>
      <xdr:rowOff>66079</xdr:rowOff>
    </xdr:from>
    <xdr:to>
      <xdr:col>2</xdr:col>
      <xdr:colOff>316111</xdr:colOff>
      <xdr:row>23</xdr:row>
      <xdr:rowOff>110132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61925" y="4066579"/>
          <a:ext cx="1373386" cy="42505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Contact</a:t>
          </a:r>
        </a:p>
      </xdr:txBody>
    </xdr:sp>
    <xdr:clientData/>
  </xdr:twoCellAnchor>
  <xdr:twoCellAnchor>
    <xdr:from>
      <xdr:col>0</xdr:col>
      <xdr:colOff>180975</xdr:colOff>
      <xdr:row>24</xdr:row>
      <xdr:rowOff>161329</xdr:rowOff>
    </xdr:from>
    <xdr:to>
      <xdr:col>2</xdr:col>
      <xdr:colOff>335161</xdr:colOff>
      <xdr:row>27</xdr:row>
      <xdr:rowOff>14882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80975" y="4733329"/>
          <a:ext cx="1373386" cy="42505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Close</a:t>
          </a:r>
        </a:p>
      </xdr:txBody>
    </xdr:sp>
    <xdr:clientData/>
  </xdr:twoCellAnchor>
  <xdr:twoCellAnchor>
    <xdr:from>
      <xdr:col>0</xdr:col>
      <xdr:colOff>295275</xdr:colOff>
      <xdr:row>7</xdr:row>
      <xdr:rowOff>9526</xdr:rowOff>
    </xdr:from>
    <xdr:to>
      <xdr:col>2</xdr:col>
      <xdr:colOff>200025</xdr:colOff>
      <xdr:row>9</xdr:row>
      <xdr:rowOff>85726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95275" y="1343026"/>
          <a:ext cx="1123950" cy="457200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prst="slope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>
                <a:noFill/>
              </a:ln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Control</a:t>
          </a:r>
        </a:p>
      </xdr:txBody>
    </xdr:sp>
    <xdr:clientData/>
  </xdr:twoCellAnchor>
  <xdr:twoCellAnchor>
    <xdr:from>
      <xdr:col>0</xdr:col>
      <xdr:colOff>161925</xdr:colOff>
      <xdr:row>14</xdr:row>
      <xdr:rowOff>8929</xdr:rowOff>
    </xdr:from>
    <xdr:to>
      <xdr:col>2</xdr:col>
      <xdr:colOff>316111</xdr:colOff>
      <xdr:row>16</xdr:row>
      <xdr:rowOff>52982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61925" y="2675929"/>
          <a:ext cx="1373386" cy="42505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CV</a:t>
          </a:r>
        </a:p>
      </xdr:txBody>
    </xdr:sp>
    <xdr:clientData/>
  </xdr:twoCellAnchor>
  <xdr:twoCellAnchor>
    <xdr:from>
      <xdr:col>0</xdr:col>
      <xdr:colOff>161925</xdr:colOff>
      <xdr:row>17</xdr:row>
      <xdr:rowOff>104179</xdr:rowOff>
    </xdr:from>
    <xdr:to>
      <xdr:col>2</xdr:col>
      <xdr:colOff>316111</xdr:colOff>
      <xdr:row>19</xdr:row>
      <xdr:rowOff>148232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1925" y="3342679"/>
          <a:ext cx="1373386" cy="42505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Highlights</a:t>
          </a:r>
        </a:p>
      </xdr:txBody>
    </xdr:sp>
    <xdr:clientData/>
  </xdr:twoCellAnchor>
  <xdr:twoCellAnchor>
    <xdr:from>
      <xdr:col>3</xdr:col>
      <xdr:colOff>533818</xdr:colOff>
      <xdr:row>15</xdr:row>
      <xdr:rowOff>52335</xdr:rowOff>
    </xdr:from>
    <xdr:to>
      <xdr:col>16</xdr:col>
      <xdr:colOff>565220</xdr:colOff>
      <xdr:row>15</xdr:row>
      <xdr:rowOff>62802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2355082" y="2878434"/>
          <a:ext cx="7923545" cy="10467"/>
        </a:xfrm>
        <a:prstGeom prst="line">
          <a:avLst/>
        </a:prstGeom>
        <a:ln>
          <a:solidFill>
            <a:schemeClr val="bg1"/>
          </a:solidFill>
        </a:ln>
        <a:effectLst>
          <a:softEdge rad="127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861A-EE3D-463A-8298-8519FEF27A4B}">
  <sheetPr codeName="Planilha3"/>
  <dimension ref="A1:U74"/>
  <sheetViews>
    <sheetView showGridLines="0" zoomScale="70" zoomScaleNormal="70" workbookViewId="0">
      <selection activeCell="D7" sqref="D7"/>
    </sheetView>
  </sheetViews>
  <sheetFormatPr defaultColWidth="0" defaultRowHeight="15" customHeight="1" zeroHeight="1" x14ac:dyDescent="0.25"/>
  <cols>
    <col min="1" max="21" width="9.140625" customWidth="1"/>
    <col min="2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4</xdr:row>
                    <xdr:rowOff>76200</xdr:rowOff>
                  </from>
                  <to>
                    <xdr:col>3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8733-3F57-4666-AADB-2F54AB5A9EAC}">
  <dimension ref="A1:S42"/>
  <sheetViews>
    <sheetView showGridLines="0" tabSelected="1" zoomScale="70" zoomScaleNormal="70" workbookViewId="0">
      <selection activeCell="D15" sqref="D15"/>
    </sheetView>
  </sheetViews>
  <sheetFormatPr defaultColWidth="0" defaultRowHeight="15" zeroHeight="1" x14ac:dyDescent="0.25"/>
  <cols>
    <col min="1" max="19" width="9.140625" customWidth="1"/>
    <col min="20" max="16384" width="9.140625" hidden="1"/>
  </cols>
  <sheetData>
    <row r="1" spans="1:19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19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1:19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Line="0" autoPict="0">
                <anchor moveWithCells="1">
                  <from>
                    <xdr:col>0</xdr:col>
                    <xdr:colOff>47625</xdr:colOff>
                    <xdr:row>4</xdr:row>
                    <xdr:rowOff>104775</xdr:rowOff>
                  </from>
                  <to>
                    <xdr:col>2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D2A0-1F7E-415B-B5D1-4ED0EB9A30F8}">
  <dimension ref="A1:Z50"/>
  <sheetViews>
    <sheetView topLeftCell="B1" workbookViewId="0">
      <selection activeCell="Y26" sqref="Y26"/>
    </sheetView>
  </sheetViews>
  <sheetFormatPr defaultRowHeight="15" x14ac:dyDescent="0.25"/>
  <cols>
    <col min="1" max="1" width="19.85546875" bestFit="1" customWidth="1"/>
    <col min="8" max="8" width="14.7109375" bestFit="1" customWidth="1"/>
    <col min="14" max="14" width="9.42578125" bestFit="1" customWidth="1"/>
  </cols>
  <sheetData>
    <row r="1" spans="1:26" x14ac:dyDescent="0.25">
      <c r="A1" t="s">
        <v>6</v>
      </c>
      <c r="B1" t="s">
        <v>5</v>
      </c>
      <c r="E1" t="s">
        <v>6</v>
      </c>
      <c r="F1" t="s">
        <v>7</v>
      </c>
      <c r="G1" t="s">
        <v>8</v>
      </c>
      <c r="H1" t="s">
        <v>9</v>
      </c>
      <c r="L1" t="s">
        <v>6</v>
      </c>
      <c r="M1">
        <v>2021</v>
      </c>
      <c r="N1">
        <f>M1+1</f>
        <v>2022</v>
      </c>
      <c r="O1">
        <f t="shared" ref="O1:P1" si="0">N1+1</f>
        <v>2023</v>
      </c>
      <c r="P1">
        <f t="shared" si="0"/>
        <v>2024</v>
      </c>
    </row>
    <row r="2" spans="1:26" x14ac:dyDescent="0.25">
      <c r="A2" t="s">
        <v>0</v>
      </c>
      <c r="B2">
        <v>4</v>
      </c>
      <c r="E2" t="s">
        <v>0</v>
      </c>
      <c r="F2">
        <v>4</v>
      </c>
      <c r="H2">
        <v>2</v>
      </c>
      <c r="L2" t="s">
        <v>0</v>
      </c>
      <c r="M2">
        <v>1</v>
      </c>
      <c r="N2">
        <v>3</v>
      </c>
      <c r="O2">
        <v>1</v>
      </c>
      <c r="U2" t="s">
        <v>6</v>
      </c>
      <c r="V2" t="s">
        <v>7</v>
      </c>
      <c r="Y2" t="s">
        <v>6</v>
      </c>
      <c r="Z2" t="s">
        <v>17</v>
      </c>
    </row>
    <row r="3" spans="1:26" x14ac:dyDescent="0.25">
      <c r="A3" t="s">
        <v>1</v>
      </c>
      <c r="B3">
        <v>2</v>
      </c>
      <c r="E3" t="s">
        <v>1</v>
      </c>
      <c r="F3">
        <v>2</v>
      </c>
      <c r="G3">
        <v>1</v>
      </c>
      <c r="L3" t="s">
        <v>1</v>
      </c>
      <c r="O3">
        <v>1</v>
      </c>
      <c r="P3">
        <v>1</v>
      </c>
      <c r="U3" t="s">
        <v>0</v>
      </c>
      <c r="V3" s="6">
        <f>W3/$W$8</f>
        <v>0.30769230769230771</v>
      </c>
      <c r="W3">
        <v>4</v>
      </c>
      <c r="Y3" t="s">
        <v>0</v>
      </c>
      <c r="Z3">
        <v>4</v>
      </c>
    </row>
    <row r="4" spans="1:26" x14ac:dyDescent="0.25">
      <c r="A4" t="s">
        <v>2</v>
      </c>
      <c r="B4">
        <v>1</v>
      </c>
      <c r="E4" t="s">
        <v>2</v>
      </c>
      <c r="F4">
        <v>1</v>
      </c>
      <c r="L4" t="s">
        <v>2</v>
      </c>
      <c r="M4">
        <v>1</v>
      </c>
      <c r="U4" t="s">
        <v>1</v>
      </c>
      <c r="V4" s="6">
        <f t="shared" ref="V4:V7" si="1">W4/$W$8</f>
        <v>0.15384615384615385</v>
      </c>
      <c r="W4">
        <v>2</v>
      </c>
      <c r="Y4" t="s">
        <v>1</v>
      </c>
      <c r="Z4">
        <v>2</v>
      </c>
    </row>
    <row r="5" spans="1:26" x14ac:dyDescent="0.25">
      <c r="A5" t="s">
        <v>3</v>
      </c>
      <c r="B5">
        <v>3</v>
      </c>
      <c r="E5" t="s">
        <v>3</v>
      </c>
      <c r="F5">
        <v>3</v>
      </c>
      <c r="L5" t="s">
        <v>3</v>
      </c>
      <c r="N5">
        <v>2</v>
      </c>
      <c r="O5">
        <v>1</v>
      </c>
      <c r="U5" t="s">
        <v>2</v>
      </c>
      <c r="V5" s="6">
        <f t="shared" si="1"/>
        <v>7.6923076923076927E-2</v>
      </c>
      <c r="W5">
        <v>1</v>
      </c>
      <c r="Y5" t="s">
        <v>2</v>
      </c>
      <c r="Z5">
        <v>1</v>
      </c>
    </row>
    <row r="6" spans="1:26" x14ac:dyDescent="0.25">
      <c r="A6" t="s">
        <v>4</v>
      </c>
      <c r="B6">
        <v>3</v>
      </c>
      <c r="E6" t="s">
        <v>4</v>
      </c>
      <c r="F6">
        <v>3</v>
      </c>
      <c r="H6">
        <v>1</v>
      </c>
      <c r="L6" t="s">
        <v>4</v>
      </c>
      <c r="N6">
        <v>2</v>
      </c>
      <c r="O6">
        <v>1</v>
      </c>
      <c r="U6" t="s">
        <v>3</v>
      </c>
      <c r="V6" s="6">
        <f t="shared" si="1"/>
        <v>0.23076923076923078</v>
      </c>
      <c r="W6">
        <v>3</v>
      </c>
      <c r="Y6" t="s">
        <v>3</v>
      </c>
      <c r="Z6">
        <v>3</v>
      </c>
    </row>
    <row r="7" spans="1:26" x14ac:dyDescent="0.25">
      <c r="A7" t="s">
        <v>10</v>
      </c>
      <c r="B7">
        <f>SUM(B2:B6)</f>
        <v>13</v>
      </c>
      <c r="E7" t="s">
        <v>10</v>
      </c>
      <c r="F7">
        <f>SUM(F2:F6)</f>
        <v>13</v>
      </c>
      <c r="G7">
        <f>SUM(G2:G6)</f>
        <v>1</v>
      </c>
      <c r="H7">
        <f>SUM(H2:H6)</f>
        <v>3</v>
      </c>
      <c r="L7" t="s">
        <v>10</v>
      </c>
      <c r="M7">
        <f t="shared" ref="M7:P7" si="2">SUM(M2:M6)</f>
        <v>2</v>
      </c>
      <c r="N7">
        <f t="shared" si="2"/>
        <v>7</v>
      </c>
      <c r="O7">
        <f t="shared" si="2"/>
        <v>4</v>
      </c>
      <c r="P7">
        <f t="shared" si="2"/>
        <v>1</v>
      </c>
      <c r="U7" t="s">
        <v>4</v>
      </c>
      <c r="V7" s="6">
        <f t="shared" si="1"/>
        <v>0.23076923076923078</v>
      </c>
      <c r="W7">
        <v>3</v>
      </c>
      <c r="Y7" t="s">
        <v>4</v>
      </c>
      <c r="Z7">
        <v>3</v>
      </c>
    </row>
    <row r="8" spans="1:26" x14ac:dyDescent="0.25">
      <c r="W8">
        <f>SUM(W3:W7)</f>
        <v>13</v>
      </c>
    </row>
    <row r="9" spans="1:26" x14ac:dyDescent="0.25">
      <c r="A9">
        <v>6</v>
      </c>
    </row>
    <row r="12" spans="1:26" x14ac:dyDescent="0.25">
      <c r="L12" t="s">
        <v>18</v>
      </c>
      <c r="M12" t="s">
        <v>0</v>
      </c>
      <c r="N12" t="s">
        <v>1</v>
      </c>
      <c r="O12" t="s">
        <v>2</v>
      </c>
      <c r="P12" t="s">
        <v>3</v>
      </c>
      <c r="Q12" t="s">
        <v>4</v>
      </c>
      <c r="R12">
        <f>SUM(M12:Q12)</f>
        <v>0</v>
      </c>
      <c r="U12" t="s">
        <v>6</v>
      </c>
      <c r="V12" t="s">
        <v>8</v>
      </c>
      <c r="Y12" t="s">
        <v>6</v>
      </c>
      <c r="Z12" t="s">
        <v>17</v>
      </c>
    </row>
    <row r="13" spans="1:26" x14ac:dyDescent="0.25">
      <c r="L13">
        <v>2021</v>
      </c>
      <c r="M13">
        <v>1</v>
      </c>
      <c r="O13">
        <v>1</v>
      </c>
      <c r="R13">
        <f t="shared" ref="R13:R16" si="3">SUM(M13:Q13)</f>
        <v>2</v>
      </c>
      <c r="U13" t="s">
        <v>0</v>
      </c>
      <c r="V13" s="6">
        <f>W13/$W$18</f>
        <v>0</v>
      </c>
      <c r="Y13" t="s">
        <v>0</v>
      </c>
    </row>
    <row r="14" spans="1:26" x14ac:dyDescent="0.25">
      <c r="L14">
        <f>L13+1</f>
        <v>2022</v>
      </c>
      <c r="M14">
        <v>3</v>
      </c>
      <c r="P14">
        <v>2</v>
      </c>
      <c r="Q14">
        <v>2</v>
      </c>
      <c r="R14">
        <f t="shared" si="3"/>
        <v>7</v>
      </c>
      <c r="U14" t="s">
        <v>1</v>
      </c>
      <c r="V14" s="6">
        <f t="shared" ref="V14:V17" si="4">W14/$W$18</f>
        <v>1</v>
      </c>
      <c r="W14">
        <v>1</v>
      </c>
      <c r="Y14" t="s">
        <v>1</v>
      </c>
      <c r="Z14">
        <v>1</v>
      </c>
    </row>
    <row r="15" spans="1:26" x14ac:dyDescent="0.25">
      <c r="L15">
        <f>L14+1</f>
        <v>2023</v>
      </c>
      <c r="M15">
        <v>1</v>
      </c>
      <c r="N15">
        <v>1</v>
      </c>
      <c r="P15">
        <v>1</v>
      </c>
      <c r="Q15">
        <v>1</v>
      </c>
      <c r="R15">
        <f t="shared" si="3"/>
        <v>4</v>
      </c>
      <c r="U15" t="s">
        <v>2</v>
      </c>
      <c r="V15" s="6">
        <f t="shared" si="4"/>
        <v>0</v>
      </c>
      <c r="Y15" t="s">
        <v>2</v>
      </c>
    </row>
    <row r="16" spans="1:26" x14ac:dyDescent="0.25">
      <c r="L16">
        <f>L15+1</f>
        <v>2024</v>
      </c>
      <c r="N16">
        <v>1</v>
      </c>
      <c r="R16">
        <f t="shared" si="3"/>
        <v>1</v>
      </c>
      <c r="U16" t="s">
        <v>3</v>
      </c>
      <c r="V16" s="6">
        <f t="shared" si="4"/>
        <v>0</v>
      </c>
      <c r="Y16" t="s">
        <v>3</v>
      </c>
    </row>
    <row r="17" spans="12:26" x14ac:dyDescent="0.25">
      <c r="U17" t="s">
        <v>4</v>
      </c>
      <c r="V17" s="6">
        <f t="shared" si="4"/>
        <v>0</v>
      </c>
      <c r="Y17" t="s">
        <v>4</v>
      </c>
    </row>
    <row r="18" spans="12:26" x14ac:dyDescent="0.25">
      <c r="W18">
        <f>SUM(W13:W17)</f>
        <v>1</v>
      </c>
    </row>
    <row r="21" spans="12:26" x14ac:dyDescent="0.25">
      <c r="L21" t="s">
        <v>6</v>
      </c>
      <c r="M21">
        <v>2021</v>
      </c>
      <c r="N21">
        <f>M21+1</f>
        <v>2022</v>
      </c>
      <c r="O21">
        <f t="shared" ref="O21:P21" si="5">N21+1</f>
        <v>2023</v>
      </c>
      <c r="P21">
        <f t="shared" si="5"/>
        <v>2024</v>
      </c>
      <c r="U21" t="s">
        <v>6</v>
      </c>
      <c r="V21" t="s">
        <v>9</v>
      </c>
      <c r="Y21" t="s">
        <v>6</v>
      </c>
      <c r="Z21" t="s">
        <v>17</v>
      </c>
    </row>
    <row r="22" spans="12:26" x14ac:dyDescent="0.25">
      <c r="L22" t="s">
        <v>0</v>
      </c>
      <c r="M22">
        <v>1</v>
      </c>
      <c r="N22">
        <v>3</v>
      </c>
      <c r="O22">
        <v>1</v>
      </c>
      <c r="U22" t="s">
        <v>0</v>
      </c>
      <c r="V22" s="6">
        <f>W22/$W$27</f>
        <v>0.66666666666666663</v>
      </c>
      <c r="W22">
        <v>2</v>
      </c>
      <c r="Y22" t="s">
        <v>0</v>
      </c>
      <c r="Z22">
        <v>2</v>
      </c>
    </row>
    <row r="23" spans="12:26" x14ac:dyDescent="0.25">
      <c r="L23" t="s">
        <v>1</v>
      </c>
      <c r="O23">
        <v>1</v>
      </c>
      <c r="P23">
        <v>1</v>
      </c>
      <c r="U23" t="s">
        <v>1</v>
      </c>
      <c r="V23" s="6">
        <f t="shared" ref="V23:V26" si="6">W23/$W$27</f>
        <v>0</v>
      </c>
      <c r="Y23" t="s">
        <v>1</v>
      </c>
    </row>
    <row r="24" spans="12:26" x14ac:dyDescent="0.25">
      <c r="L24" t="s">
        <v>2</v>
      </c>
      <c r="M24">
        <v>1</v>
      </c>
      <c r="U24" t="s">
        <v>2</v>
      </c>
      <c r="V24" s="6">
        <f t="shared" si="6"/>
        <v>0</v>
      </c>
      <c r="Y24" t="s">
        <v>2</v>
      </c>
    </row>
    <row r="25" spans="12:26" x14ac:dyDescent="0.25">
      <c r="L25" t="s">
        <v>3</v>
      </c>
      <c r="N25">
        <v>2</v>
      </c>
      <c r="O25">
        <v>1</v>
      </c>
      <c r="U25" t="s">
        <v>3</v>
      </c>
      <c r="V25" s="6">
        <f t="shared" si="6"/>
        <v>0</v>
      </c>
      <c r="Y25" t="s">
        <v>3</v>
      </c>
    </row>
    <row r="26" spans="12:26" x14ac:dyDescent="0.25">
      <c r="L26" t="s">
        <v>4</v>
      </c>
      <c r="N26">
        <v>2</v>
      </c>
      <c r="O26">
        <v>1</v>
      </c>
      <c r="U26" t="s">
        <v>4</v>
      </c>
      <c r="V26" s="6">
        <f t="shared" si="6"/>
        <v>0.33333333333333331</v>
      </c>
      <c r="W26">
        <v>1</v>
      </c>
      <c r="Y26" t="s">
        <v>4</v>
      </c>
      <c r="Z26">
        <v>1</v>
      </c>
    </row>
    <row r="27" spans="12:26" x14ac:dyDescent="0.25">
      <c r="W27">
        <f>SUM(W21:W26)</f>
        <v>3</v>
      </c>
    </row>
    <row r="30" spans="12:26" x14ac:dyDescent="0.25">
      <c r="L30" t="s">
        <v>6</v>
      </c>
      <c r="M30" t="s">
        <v>18</v>
      </c>
      <c r="N30" t="s">
        <v>17</v>
      </c>
    </row>
    <row r="31" spans="12:26" x14ac:dyDescent="0.25">
      <c r="L31" t="s">
        <v>0</v>
      </c>
      <c r="M31">
        <v>2021</v>
      </c>
      <c r="N31">
        <v>1</v>
      </c>
    </row>
    <row r="32" spans="12:26" x14ac:dyDescent="0.25">
      <c r="L32" t="s">
        <v>1</v>
      </c>
      <c r="M32">
        <v>2021</v>
      </c>
    </row>
    <row r="33" spans="12:14" x14ac:dyDescent="0.25">
      <c r="L33" t="s">
        <v>2</v>
      </c>
      <c r="M33">
        <v>2021</v>
      </c>
      <c r="N33">
        <v>1</v>
      </c>
    </row>
    <row r="34" spans="12:14" x14ac:dyDescent="0.25">
      <c r="L34" t="s">
        <v>3</v>
      </c>
      <c r="M34">
        <v>2021</v>
      </c>
    </row>
    <row r="35" spans="12:14" x14ac:dyDescent="0.25">
      <c r="L35" t="s">
        <v>4</v>
      </c>
      <c r="M35">
        <v>2021</v>
      </c>
    </row>
    <row r="36" spans="12:14" x14ac:dyDescent="0.25">
      <c r="L36" t="s">
        <v>0</v>
      </c>
      <c r="M36">
        <v>2022</v>
      </c>
      <c r="N36">
        <v>3</v>
      </c>
    </row>
    <row r="37" spans="12:14" x14ac:dyDescent="0.25">
      <c r="L37" t="s">
        <v>1</v>
      </c>
      <c r="M37">
        <v>2022</v>
      </c>
    </row>
    <row r="38" spans="12:14" x14ac:dyDescent="0.25">
      <c r="L38" t="s">
        <v>2</v>
      </c>
      <c r="M38">
        <v>2022</v>
      </c>
    </row>
    <row r="39" spans="12:14" x14ac:dyDescent="0.25">
      <c r="L39" t="s">
        <v>3</v>
      </c>
      <c r="M39">
        <v>2022</v>
      </c>
      <c r="N39">
        <v>2</v>
      </c>
    </row>
    <row r="40" spans="12:14" x14ac:dyDescent="0.25">
      <c r="L40" t="s">
        <v>4</v>
      </c>
      <c r="M40">
        <v>2022</v>
      </c>
      <c r="N40">
        <v>2</v>
      </c>
    </row>
    <row r="41" spans="12:14" x14ac:dyDescent="0.25">
      <c r="L41" t="s">
        <v>0</v>
      </c>
      <c r="M41">
        <v>2023</v>
      </c>
      <c r="N41">
        <v>1</v>
      </c>
    </row>
    <row r="42" spans="12:14" x14ac:dyDescent="0.25">
      <c r="L42" t="s">
        <v>1</v>
      </c>
      <c r="M42">
        <v>2023</v>
      </c>
      <c r="N42">
        <v>1</v>
      </c>
    </row>
    <row r="43" spans="12:14" x14ac:dyDescent="0.25">
      <c r="L43" t="s">
        <v>2</v>
      </c>
      <c r="M43">
        <v>2023</v>
      </c>
    </row>
    <row r="44" spans="12:14" x14ac:dyDescent="0.25">
      <c r="L44" t="s">
        <v>3</v>
      </c>
      <c r="M44">
        <v>2023</v>
      </c>
      <c r="N44">
        <v>1</v>
      </c>
    </row>
    <row r="45" spans="12:14" x14ac:dyDescent="0.25">
      <c r="L45" t="s">
        <v>4</v>
      </c>
      <c r="M45">
        <v>2023</v>
      </c>
      <c r="N45">
        <v>1</v>
      </c>
    </row>
    <row r="46" spans="12:14" x14ac:dyDescent="0.25">
      <c r="L46" t="s">
        <v>0</v>
      </c>
      <c r="M46">
        <v>2024</v>
      </c>
    </row>
    <row r="47" spans="12:14" x14ac:dyDescent="0.25">
      <c r="L47" t="s">
        <v>1</v>
      </c>
      <c r="M47">
        <v>2024</v>
      </c>
      <c r="N47">
        <v>1</v>
      </c>
    </row>
    <row r="48" spans="12:14" x14ac:dyDescent="0.25">
      <c r="L48" t="s">
        <v>2</v>
      </c>
      <c r="M48">
        <v>2024</v>
      </c>
    </row>
    <row r="49" spans="12:13" x14ac:dyDescent="0.25">
      <c r="L49" t="s">
        <v>3</v>
      </c>
      <c r="M49">
        <v>2024</v>
      </c>
    </row>
    <row r="50" spans="12:13" x14ac:dyDescent="0.25">
      <c r="L50" t="s">
        <v>4</v>
      </c>
      <c r="M50">
        <v>2024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E126A-442D-42B5-A1C8-A4ADD6AD14EB}">
  <dimension ref="A1:B6"/>
  <sheetViews>
    <sheetView workbookViewId="0">
      <selection activeCell="B2" sqref="B2"/>
    </sheetView>
  </sheetViews>
  <sheetFormatPr defaultRowHeight="15" x14ac:dyDescent="0.25"/>
  <cols>
    <col min="1" max="1" width="56.85546875" customWidth="1"/>
    <col min="2" max="2" width="165.28515625" customWidth="1"/>
  </cols>
  <sheetData>
    <row r="1" spans="1:2" ht="15.75" thickBot="1" x14ac:dyDescent="0.3">
      <c r="A1" s="1" t="s">
        <v>6</v>
      </c>
      <c r="B1" s="2" t="s">
        <v>11</v>
      </c>
    </row>
    <row r="2" spans="1:2" ht="29.25" thickBot="1" x14ac:dyDescent="0.3">
      <c r="A2" s="3" t="s">
        <v>0</v>
      </c>
      <c r="B2" s="4" t="s">
        <v>12</v>
      </c>
    </row>
    <row r="3" spans="1:2" ht="15.75" thickBot="1" x14ac:dyDescent="0.3">
      <c r="A3" s="3" t="s">
        <v>1</v>
      </c>
      <c r="B3" s="4" t="s">
        <v>13</v>
      </c>
    </row>
    <row r="4" spans="1:2" ht="15.75" thickBot="1" x14ac:dyDescent="0.3">
      <c r="A4" s="3" t="s">
        <v>2</v>
      </c>
      <c r="B4" s="4" t="s">
        <v>16</v>
      </c>
    </row>
    <row r="5" spans="1:2" ht="15.75" thickBot="1" x14ac:dyDescent="0.3">
      <c r="A5" s="3" t="s">
        <v>3</v>
      </c>
      <c r="B5" s="4" t="s">
        <v>14</v>
      </c>
    </row>
    <row r="6" spans="1:2" ht="43.5" thickBot="1" x14ac:dyDescent="0.3">
      <c r="A6" s="3" t="s">
        <v>4</v>
      </c>
      <c r="B6" s="4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Dashboard_1</vt:lpstr>
      <vt:lpstr>Dashboard_2</vt:lpstr>
      <vt:lpstr>Data</vt:lpstr>
      <vt:lpstr>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ALISON CORDEIRO SOUSA</cp:lastModifiedBy>
  <dcterms:created xsi:type="dcterms:W3CDTF">2018-09-26T16:56:27Z</dcterms:created>
  <dcterms:modified xsi:type="dcterms:W3CDTF">2024-05-04T15:51:48Z</dcterms:modified>
</cp:coreProperties>
</file>